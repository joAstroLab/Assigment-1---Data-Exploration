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4HPX/9Ycd7KXq/vVMyfAy67/hU6E7Cnct6TOPZY/fs="/>
    </ext>
  </extLst>
</workbook>
</file>

<file path=xl/sharedStrings.xml><?xml version="1.0" encoding="utf-8"?>
<sst xmlns="http://schemas.openxmlformats.org/spreadsheetml/2006/main" count="228" uniqueCount="107">
  <si>
    <t>Product ID</t>
  </si>
  <si>
    <t>Product Name</t>
  </si>
  <si>
    <t>Brand Name</t>
  </si>
  <si>
    <t>Price ($)</t>
  </si>
  <si>
    <t>Quantity</t>
  </si>
  <si>
    <t>Category</t>
  </si>
  <si>
    <t>1.SUM</t>
  </si>
  <si>
    <t>COUNT</t>
  </si>
  <si>
    <t>AVERAGE</t>
  </si>
  <si>
    <t>5.TEXT FORMATTING - LEFT,RIGHT,MID</t>
  </si>
  <si>
    <t>28-JAN-US</t>
  </si>
  <si>
    <t>Laptop</t>
  </si>
  <si>
    <t>Dell</t>
  </si>
  <si>
    <t>Electronics</t>
  </si>
  <si>
    <t>DAY</t>
  </si>
  <si>
    <t>COUNTRY CODE</t>
  </si>
  <si>
    <t>MONTH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</si>
  <si>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</si>
  <si>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</si>
  <si>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</si>
  <si>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</si>
  <si>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</si>
  <si>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</si>
  <si>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</si>
  <si>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</si>
  <si>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 xml:space="preserve">2:MIN </t>
  </si>
  <si>
    <t>MAX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</si>
  <si>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</si>
  <si>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</si>
  <si>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</si>
  <si>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</si>
  <si>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</si>
  <si>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</si>
  <si>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</si>
  <si>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</si>
  <si>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</si>
  <si>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</si>
  <si>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3.IF FUNCTION:</t>
  </si>
  <si>
    <t>4.SUMIF &amp; COUNTIF:</t>
  </si>
  <si>
    <t>19-JUL-UK</t>
  </si>
  <si>
    <t>T-shirt</t>
  </si>
  <si>
    <t>Adidas</t>
  </si>
  <si>
    <t>PRICE RANGE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</si>
  <si>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</si>
  <si>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</si>
  <si>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</si>
  <si>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</si>
  <si>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</si>
  <si>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</si>
  <si>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</si>
  <si>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</si>
  <si>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</si>
  <si>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</si>
  <si>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</si>
  <si>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</si>
  <si>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</si>
  <si>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</si>
  <si>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SUMIF: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</si>
  <si>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</si>
  <si>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</si>
  <si>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</si>
  <si>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</si>
  <si>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</si>
  <si>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</si>
  <si>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</si>
  <si>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</si>
  <si>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</si>
  <si>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</si>
  <si>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</si>
  <si>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COUNTIF: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</si>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</sst>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0.0"/>
      <color theme="1"/>
      <name val="Arial"/>
    </font>
    <font>
      <color theme="1"/>
      <name val="Aptos Narrow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shrinkToFit="0" wrapText="1"/>
    </xf>
    <xf borderId="1" fillId="3" fontId="3" numFmtId="0" xfId="0" applyAlignment="1" applyBorder="1" applyFill="1" applyFont="1">
      <alignment shrinkToFit="0" wrapText="1"/>
    </xf>
    <xf borderId="1" fillId="3" fontId="3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5.0"/>
    <col customWidth="1" min="3" max="3" width="14.5"/>
    <col customWidth="1" min="4" max="4" width="8.63"/>
    <col customWidth="1" min="5" max="5" width="10.63"/>
    <col customWidth="1" min="6" max="6" width="13.38"/>
    <col customWidth="1" min="7" max="7" width="8.63"/>
    <col customWidth="1" min="8" max="8" width="14.63"/>
    <col customWidth="1" min="9" max="9" width="18.63"/>
    <col customWidth="1" min="10" max="10" width="8.63"/>
    <col customWidth="1" min="11" max="11" width="11.75"/>
    <col customWidth="1" min="12" max="12" width="20.63"/>
    <col customWidth="1" min="13" max="13" width="13.13"/>
    <col customWidth="1" min="14" max="14" width="9.63"/>
    <col customWidth="1" min="15" max="16" width="8.63"/>
    <col customWidth="1" min="17" max="17" width="33.5"/>
    <col customWidth="1" min="18" max="18" width="8.63"/>
    <col customWidth="1" min="19" max="19" width="15.38"/>
    <col customWidth="1" min="2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6</v>
      </c>
      <c r="J1" s="2" t="s">
        <v>7</v>
      </c>
      <c r="K1" s="2" t="s">
        <v>8</v>
      </c>
      <c r="Q1" s="2" t="s">
        <v>9</v>
      </c>
    </row>
    <row r="2" ht="14.25" customHeight="1">
      <c r="A2" s="3" t="s">
        <v>10</v>
      </c>
      <c r="B2" s="3" t="s">
        <v>11</v>
      </c>
      <c r="C2" s="3" t="s">
        <v>12</v>
      </c>
      <c r="D2" s="4">
        <v>1000.0</v>
      </c>
      <c r="E2" s="4">
        <v>30.0</v>
      </c>
      <c r="F2" s="3" t="s">
        <v>13</v>
      </c>
      <c r="I2" s="2">
        <f>SUM(D2:D35)</f>
        <v>10100</v>
      </c>
      <c r="J2" s="2">
        <f>COUNT(D2:D35)</f>
        <v>34</v>
      </c>
      <c r="K2" s="2">
        <f>AVERAGE(D2:D35)</f>
        <v>297.0588235</v>
      </c>
      <c r="Q2" s="1" t="s">
        <v>0</v>
      </c>
      <c r="R2" s="2" t="s">
        <v>14</v>
      </c>
      <c r="S2" s="2" t="s">
        <v>15</v>
      </c>
      <c r="T2" s="2" t="s">
        <v>16</v>
      </c>
    </row>
    <row r="3" ht="14.25" customHeight="1">
      <c r="A3" s="5" t="s">
        <v>17</v>
      </c>
      <c r="B3" s="5" t="s">
        <v>18</v>
      </c>
      <c r="C3" s="5" t="s">
        <v>19</v>
      </c>
      <c r="D3" s="6">
        <v>80.0</v>
      </c>
      <c r="E3" s="6">
        <v>15.0</v>
      </c>
      <c r="F3" s="5" t="s">
        <v>20</v>
      </c>
      <c r="Q3" s="3" t="s">
        <v>10</v>
      </c>
      <c r="R3" s="2" t="str">
        <f t="shared" ref="R3:R36" si="1">LEFT(A2,2)</f>
        <v>28</v>
      </c>
      <c r="S3" s="2" t="str">
        <f t="shared" ref="S3:S36" si="2">RIGHT(A2,2)</f>
        <v>US</v>
      </c>
      <c r="T3" s="2" t="str">
        <f t="shared" ref="T3:T36" si="3">MID(A2,4,3)</f>
        <v>JAN</v>
      </c>
    </row>
    <row r="4" ht="14.25" customHeight="1">
      <c r="A4" s="3" t="s">
        <v>21</v>
      </c>
      <c r="B4" s="3" t="s">
        <v>22</v>
      </c>
      <c r="C4" s="3" t="s">
        <v>23</v>
      </c>
      <c r="D4" s="4">
        <v>130.0</v>
      </c>
      <c r="E4" s="4">
        <v>40.0</v>
      </c>
      <c r="F4" s="3" t="s">
        <v>24</v>
      </c>
      <c r="I4" s="2" t="s">
        <v>25</v>
      </c>
      <c r="J4" s="2" t="s">
        <v>26</v>
      </c>
      <c r="Q4" s="5" t="s">
        <v>17</v>
      </c>
      <c r="R4" s="2" t="str">
        <f t="shared" si="1"/>
        <v>15</v>
      </c>
      <c r="S4" s="2" t="str">
        <f t="shared" si="2"/>
        <v>US</v>
      </c>
      <c r="T4" s="2" t="str">
        <f t="shared" si="3"/>
        <v>FEB</v>
      </c>
    </row>
    <row r="5" ht="14.25" customHeight="1">
      <c r="A5" s="5" t="s">
        <v>27</v>
      </c>
      <c r="B5" s="5" t="s">
        <v>28</v>
      </c>
      <c r="C5" s="5" t="s">
        <v>29</v>
      </c>
      <c r="D5" s="6">
        <v>900.0</v>
      </c>
      <c r="E5" s="6">
        <v>25.0</v>
      </c>
      <c r="F5" s="5" t="s">
        <v>13</v>
      </c>
      <c r="I5" s="2">
        <f>MIN(D2:D35)</f>
        <v>30</v>
      </c>
      <c r="J5" s="2">
        <f>MAX(D2:D35)</f>
        <v>1000</v>
      </c>
      <c r="Q5" s="3" t="s">
        <v>21</v>
      </c>
      <c r="R5" s="2" t="str">
        <f t="shared" si="1"/>
        <v>03</v>
      </c>
      <c r="S5" s="2" t="str">
        <f t="shared" si="2"/>
        <v>US</v>
      </c>
      <c r="T5" s="2" t="str">
        <f t="shared" si="3"/>
        <v>MAR</v>
      </c>
    </row>
    <row r="6" ht="14.25" customHeight="1">
      <c r="A6" s="3" t="s">
        <v>30</v>
      </c>
      <c r="B6" s="3" t="s">
        <v>31</v>
      </c>
      <c r="C6" s="3" t="s">
        <v>32</v>
      </c>
      <c r="D6" s="4">
        <v>70.0</v>
      </c>
      <c r="E6" s="4">
        <v>20.0</v>
      </c>
      <c r="F6" s="3" t="s">
        <v>33</v>
      </c>
      <c r="Q6" s="5" t="s">
        <v>27</v>
      </c>
      <c r="R6" s="2" t="str">
        <f t="shared" si="1"/>
        <v>11</v>
      </c>
      <c r="S6" s="2" t="str">
        <f t="shared" si="2"/>
        <v>US</v>
      </c>
      <c r="T6" s="2" t="str">
        <f t="shared" si="3"/>
        <v>APR</v>
      </c>
    </row>
    <row r="7" ht="14.25" customHeight="1">
      <c r="A7" s="5" t="s">
        <v>34</v>
      </c>
      <c r="B7" s="5" t="s">
        <v>35</v>
      </c>
      <c r="C7" s="5" t="s">
        <v>36</v>
      </c>
      <c r="D7" s="6">
        <v>200.0</v>
      </c>
      <c r="E7" s="6">
        <v>45.0</v>
      </c>
      <c r="F7" s="5" t="s">
        <v>13</v>
      </c>
      <c r="H7" s="2" t="s">
        <v>37</v>
      </c>
      <c r="L7" s="2" t="s">
        <v>38</v>
      </c>
      <c r="Q7" s="3" t="s">
        <v>30</v>
      </c>
      <c r="R7" s="2" t="str">
        <f t="shared" si="1"/>
        <v>22</v>
      </c>
      <c r="S7" s="2" t="str">
        <f t="shared" si="2"/>
        <v>US</v>
      </c>
      <c r="T7" s="2" t="str">
        <f t="shared" si="3"/>
        <v>MAY</v>
      </c>
    </row>
    <row r="8" ht="14.25" customHeight="1">
      <c r="A8" s="3" t="s">
        <v>39</v>
      </c>
      <c r="B8" s="3" t="s">
        <v>40</v>
      </c>
      <c r="C8" s="3" t="s">
        <v>41</v>
      </c>
      <c r="D8" s="4">
        <v>30.0</v>
      </c>
      <c r="E8" s="4">
        <v>5.0</v>
      </c>
      <c r="F8" s="3" t="s">
        <v>20</v>
      </c>
      <c r="H8" s="1" t="s">
        <v>3</v>
      </c>
      <c r="I8" s="2" t="s">
        <v>42</v>
      </c>
      <c r="L8" s="1" t="s">
        <v>3</v>
      </c>
      <c r="M8" s="1" t="s">
        <v>5</v>
      </c>
      <c r="Q8" s="5" t="s">
        <v>34</v>
      </c>
      <c r="R8" s="2" t="str">
        <f t="shared" si="1"/>
        <v>07</v>
      </c>
      <c r="S8" s="2" t="str">
        <f t="shared" si="2"/>
        <v>UK</v>
      </c>
      <c r="T8" s="2" t="str">
        <f t="shared" si="3"/>
        <v>JUN</v>
      </c>
    </row>
    <row r="9" ht="14.25" customHeight="1">
      <c r="A9" s="5" t="s">
        <v>43</v>
      </c>
      <c r="B9" s="5" t="s">
        <v>44</v>
      </c>
      <c r="C9" s="5" t="s">
        <v>45</v>
      </c>
      <c r="D9" s="6">
        <v>90.0</v>
      </c>
      <c r="E9" s="6">
        <v>35.0</v>
      </c>
      <c r="F9" s="5" t="s">
        <v>24</v>
      </c>
      <c r="H9" s="4">
        <v>1000.0</v>
      </c>
      <c r="I9" s="2" t="str">
        <f t="shared" ref="I9:I42" si="4">IF(H9&gt;=500,"Hign Price","Standard price")</f>
        <v>Hign Price</v>
      </c>
      <c r="L9" s="4">
        <v>1000.0</v>
      </c>
      <c r="M9" s="3" t="s">
        <v>13</v>
      </c>
      <c r="Q9" s="3" t="s">
        <v>39</v>
      </c>
      <c r="R9" s="2" t="str">
        <f t="shared" si="1"/>
        <v>19</v>
      </c>
      <c r="S9" s="2" t="str">
        <f t="shared" si="2"/>
        <v>UK</v>
      </c>
      <c r="T9" s="2" t="str">
        <f t="shared" si="3"/>
        <v>JUL</v>
      </c>
    </row>
    <row r="10" ht="14.25" customHeight="1">
      <c r="A10" s="3" t="s">
        <v>46</v>
      </c>
      <c r="B10" s="3" t="s">
        <v>47</v>
      </c>
      <c r="C10" s="3" t="s">
        <v>48</v>
      </c>
      <c r="D10" s="4">
        <v>500.0</v>
      </c>
      <c r="E10" s="4">
        <v>50.0</v>
      </c>
      <c r="F10" s="3" t="s">
        <v>13</v>
      </c>
      <c r="H10" s="6">
        <v>80.0</v>
      </c>
      <c r="I10" s="2" t="str">
        <f t="shared" si="4"/>
        <v>Standard price</v>
      </c>
      <c r="L10" s="6">
        <v>80.0</v>
      </c>
      <c r="M10" s="5" t="s">
        <v>20</v>
      </c>
      <c r="Q10" s="5" t="s">
        <v>43</v>
      </c>
      <c r="R10" s="2" t="str">
        <f t="shared" si="1"/>
        <v>23</v>
      </c>
      <c r="S10" s="2" t="str">
        <f t="shared" si="2"/>
        <v>UK</v>
      </c>
      <c r="T10" s="2" t="str">
        <f t="shared" si="3"/>
        <v>AUG</v>
      </c>
    </row>
    <row r="11" ht="14.25" customHeight="1">
      <c r="A11" s="5" t="s">
        <v>49</v>
      </c>
      <c r="B11" s="5" t="s">
        <v>50</v>
      </c>
      <c r="C11" s="5" t="s">
        <v>51</v>
      </c>
      <c r="D11" s="6">
        <v>130.0</v>
      </c>
      <c r="E11" s="6">
        <v>10.0</v>
      </c>
      <c r="F11" s="5" t="s">
        <v>33</v>
      </c>
      <c r="H11" s="4">
        <v>130.0</v>
      </c>
      <c r="I11" s="2" t="str">
        <f t="shared" si="4"/>
        <v>Standard price</v>
      </c>
      <c r="L11" s="4">
        <v>130.0</v>
      </c>
      <c r="M11" s="3" t="s">
        <v>24</v>
      </c>
      <c r="Q11" s="3" t="s">
        <v>46</v>
      </c>
      <c r="R11" s="2" t="str">
        <f t="shared" si="1"/>
        <v>05</v>
      </c>
      <c r="S11" s="2" t="str">
        <f t="shared" si="2"/>
        <v>UK</v>
      </c>
      <c r="T11" s="2" t="str">
        <f t="shared" si="3"/>
        <v>SEP</v>
      </c>
    </row>
    <row r="12" ht="14.25" customHeight="1">
      <c r="A12" s="3" t="s">
        <v>52</v>
      </c>
      <c r="B12" s="3" t="s">
        <v>11</v>
      </c>
      <c r="C12" s="3" t="s">
        <v>53</v>
      </c>
      <c r="D12" s="4">
        <v>950.0</v>
      </c>
      <c r="E12" s="4">
        <v>25.0</v>
      </c>
      <c r="F12" s="3" t="s">
        <v>13</v>
      </c>
      <c r="H12" s="6">
        <v>900.0</v>
      </c>
      <c r="I12" s="2" t="str">
        <f t="shared" si="4"/>
        <v>Hign Price</v>
      </c>
      <c r="L12" s="6">
        <v>900.0</v>
      </c>
      <c r="M12" s="5" t="s">
        <v>13</v>
      </c>
      <c r="Q12" s="5" t="s">
        <v>49</v>
      </c>
      <c r="R12" s="2" t="str">
        <f t="shared" si="1"/>
        <v>14</v>
      </c>
      <c r="S12" s="2" t="str">
        <f t="shared" si="2"/>
        <v>UK</v>
      </c>
      <c r="T12" s="2" t="str">
        <f t="shared" si="3"/>
        <v>OCT</v>
      </c>
    </row>
    <row r="13" ht="14.25" customHeight="1">
      <c r="A13" s="5" t="s">
        <v>54</v>
      </c>
      <c r="B13" s="5" t="s">
        <v>18</v>
      </c>
      <c r="C13" s="5" t="s">
        <v>41</v>
      </c>
      <c r="D13" s="6">
        <v>90.0</v>
      </c>
      <c r="E13" s="6">
        <v>40.0</v>
      </c>
      <c r="F13" s="5" t="s">
        <v>20</v>
      </c>
      <c r="H13" s="4">
        <v>70.0</v>
      </c>
      <c r="I13" s="2" t="str">
        <f t="shared" si="4"/>
        <v>Standard price</v>
      </c>
      <c r="L13" s="4">
        <v>70.0</v>
      </c>
      <c r="M13" s="3" t="s">
        <v>33</v>
      </c>
      <c r="Q13" s="3" t="s">
        <v>52</v>
      </c>
      <c r="R13" s="2" t="str">
        <f t="shared" si="1"/>
        <v>17</v>
      </c>
      <c r="S13" s="2" t="str">
        <f t="shared" si="2"/>
        <v>IN</v>
      </c>
      <c r="T13" s="2" t="str">
        <f t="shared" si="3"/>
        <v>JUN</v>
      </c>
    </row>
    <row r="14" ht="14.25" customHeight="1">
      <c r="A14" s="3" t="s">
        <v>55</v>
      </c>
      <c r="B14" s="3" t="s">
        <v>22</v>
      </c>
      <c r="C14" s="3" t="s">
        <v>56</v>
      </c>
      <c r="D14" s="4">
        <v>120.0</v>
      </c>
      <c r="E14" s="4">
        <v>35.0</v>
      </c>
      <c r="F14" s="3" t="s">
        <v>24</v>
      </c>
      <c r="H14" s="6">
        <v>200.0</v>
      </c>
      <c r="I14" s="2" t="str">
        <f t="shared" si="4"/>
        <v>Standard price</v>
      </c>
      <c r="L14" s="6">
        <v>200.0</v>
      </c>
      <c r="M14" s="5" t="s">
        <v>13</v>
      </c>
      <c r="N14" s="2" t="s">
        <v>57</v>
      </c>
      <c r="Q14" s="5" t="s">
        <v>54</v>
      </c>
      <c r="R14" s="2" t="str">
        <f t="shared" si="1"/>
        <v>25</v>
      </c>
      <c r="S14" s="2" t="str">
        <f t="shared" si="2"/>
        <v>AU</v>
      </c>
      <c r="T14" s="2" t="str">
        <f t="shared" si="3"/>
        <v>NOV</v>
      </c>
    </row>
    <row r="15" ht="14.25" customHeight="1">
      <c r="A15" s="5" t="s">
        <v>58</v>
      </c>
      <c r="B15" s="5" t="s">
        <v>59</v>
      </c>
      <c r="C15" s="5" t="s">
        <v>60</v>
      </c>
      <c r="D15" s="6">
        <v>150.0</v>
      </c>
      <c r="E15" s="6">
        <v>15.0</v>
      </c>
      <c r="F15" s="5" t="s">
        <v>13</v>
      </c>
      <c r="H15" s="4">
        <v>30.0</v>
      </c>
      <c r="I15" s="2" t="str">
        <f t="shared" si="4"/>
        <v>Standard price</v>
      </c>
      <c r="L15" s="4">
        <v>30.0</v>
      </c>
      <c r="M15" s="3" t="s">
        <v>20</v>
      </c>
      <c r="N15" s="2">
        <f>SUMIF(M:M,"ELECTRONICS",L:L)</f>
        <v>8050</v>
      </c>
      <c r="Q15" s="3" t="s">
        <v>55</v>
      </c>
      <c r="R15" s="2" t="str">
        <f t="shared" si="1"/>
        <v>08</v>
      </c>
      <c r="S15" s="2" t="str">
        <f t="shared" si="2"/>
        <v>DE</v>
      </c>
      <c r="T15" s="2" t="str">
        <f t="shared" si="3"/>
        <v>DEC</v>
      </c>
    </row>
    <row r="16" ht="14.25" customHeight="1">
      <c r="A16" s="3" t="s">
        <v>61</v>
      </c>
      <c r="B16" s="3" t="s">
        <v>35</v>
      </c>
      <c r="C16" s="3" t="s">
        <v>62</v>
      </c>
      <c r="D16" s="4">
        <v>250.0</v>
      </c>
      <c r="E16" s="4">
        <v>20.0</v>
      </c>
      <c r="F16" s="3" t="s">
        <v>13</v>
      </c>
      <c r="H16" s="6">
        <v>90.0</v>
      </c>
      <c r="I16" s="2" t="str">
        <f t="shared" si="4"/>
        <v>Standard price</v>
      </c>
      <c r="L16" s="6">
        <v>90.0</v>
      </c>
      <c r="M16" s="5" t="s">
        <v>24</v>
      </c>
      <c r="Q16" s="5" t="s">
        <v>58</v>
      </c>
      <c r="R16" s="2" t="str">
        <f t="shared" si="1"/>
        <v>18</v>
      </c>
      <c r="S16" s="2" t="str">
        <f t="shared" si="2"/>
        <v>CA</v>
      </c>
      <c r="T16" s="2" t="str">
        <f t="shared" si="3"/>
        <v>FEB</v>
      </c>
    </row>
    <row r="17" ht="14.25" customHeight="1">
      <c r="A17" s="5" t="s">
        <v>63</v>
      </c>
      <c r="B17" s="5" t="s">
        <v>64</v>
      </c>
      <c r="C17" s="5" t="s">
        <v>65</v>
      </c>
      <c r="D17" s="6">
        <v>50.0</v>
      </c>
      <c r="E17" s="6">
        <v>35.0</v>
      </c>
      <c r="F17" s="5" t="s">
        <v>66</v>
      </c>
      <c r="H17" s="4">
        <v>500.0</v>
      </c>
      <c r="I17" s="2" t="str">
        <f t="shared" si="4"/>
        <v>Hign Price</v>
      </c>
      <c r="L17" s="4">
        <v>500.0</v>
      </c>
      <c r="M17" s="3" t="s">
        <v>13</v>
      </c>
      <c r="Q17" s="3" t="s">
        <v>61</v>
      </c>
      <c r="R17" s="2" t="str">
        <f t="shared" si="1"/>
        <v>16</v>
      </c>
      <c r="S17" s="2" t="str">
        <f t="shared" si="2"/>
        <v>ES</v>
      </c>
      <c r="T17" s="2" t="str">
        <f t="shared" si="3"/>
        <v>APR</v>
      </c>
    </row>
    <row r="18" ht="14.25" customHeight="1">
      <c r="A18" s="3" t="s">
        <v>67</v>
      </c>
      <c r="B18" s="3" t="s">
        <v>59</v>
      </c>
      <c r="C18" s="3" t="s">
        <v>68</v>
      </c>
      <c r="D18" s="4">
        <v>160.0</v>
      </c>
      <c r="E18" s="4">
        <v>15.0</v>
      </c>
      <c r="F18" s="3" t="s">
        <v>13</v>
      </c>
      <c r="H18" s="6">
        <v>130.0</v>
      </c>
      <c r="I18" s="2" t="str">
        <f t="shared" si="4"/>
        <v>Standard price</v>
      </c>
      <c r="L18" s="6">
        <v>130.0</v>
      </c>
      <c r="M18" s="5" t="s">
        <v>33</v>
      </c>
      <c r="N18" s="2" t="s">
        <v>69</v>
      </c>
      <c r="Q18" s="5" t="s">
        <v>63</v>
      </c>
      <c r="R18" s="2" t="str">
        <f t="shared" si="1"/>
        <v>21</v>
      </c>
      <c r="S18" s="2" t="str">
        <f t="shared" si="2"/>
        <v>CA</v>
      </c>
      <c r="T18" s="2" t="str">
        <f t="shared" si="3"/>
        <v>AUG</v>
      </c>
    </row>
    <row r="19" ht="14.25" customHeight="1">
      <c r="A19" s="5" t="s">
        <v>70</v>
      </c>
      <c r="B19" s="5" t="s">
        <v>11</v>
      </c>
      <c r="C19" s="5" t="s">
        <v>71</v>
      </c>
      <c r="D19" s="6">
        <v>980.0</v>
      </c>
      <c r="E19" s="6">
        <v>10.0</v>
      </c>
      <c r="F19" s="5" t="s">
        <v>13</v>
      </c>
      <c r="H19" s="4">
        <v>950.0</v>
      </c>
      <c r="I19" s="2" t="str">
        <f t="shared" si="4"/>
        <v>Hign Price</v>
      </c>
      <c r="L19" s="4">
        <v>950.0</v>
      </c>
      <c r="M19" s="3" t="s">
        <v>13</v>
      </c>
      <c r="N19" s="2">
        <f>COUNTIF(L:L, "&lt; 100")</f>
        <v>11</v>
      </c>
      <c r="Q19" s="3" t="s">
        <v>67</v>
      </c>
      <c r="R19" s="2" t="str">
        <f t="shared" si="1"/>
        <v>20</v>
      </c>
      <c r="S19" s="2" t="str">
        <f t="shared" si="2"/>
        <v>CN</v>
      </c>
      <c r="T19" s="2" t="str">
        <f t="shared" si="3"/>
        <v>AUG</v>
      </c>
    </row>
    <row r="20" ht="14.25" customHeight="1">
      <c r="A20" s="3" t="s">
        <v>72</v>
      </c>
      <c r="B20" s="3" t="s">
        <v>73</v>
      </c>
      <c r="C20" s="3" t="s">
        <v>74</v>
      </c>
      <c r="D20" s="4">
        <v>150.0</v>
      </c>
      <c r="E20" s="4">
        <v>15.0</v>
      </c>
      <c r="F20" s="3" t="s">
        <v>20</v>
      </c>
      <c r="H20" s="6">
        <v>90.0</v>
      </c>
      <c r="I20" s="2" t="str">
        <f t="shared" si="4"/>
        <v>Standard price</v>
      </c>
      <c r="L20" s="6">
        <v>90.0</v>
      </c>
      <c r="M20" s="5" t="s">
        <v>20</v>
      </c>
      <c r="Q20" s="5" t="s">
        <v>70</v>
      </c>
      <c r="R20" s="2" t="str">
        <f t="shared" si="1"/>
        <v>27</v>
      </c>
      <c r="S20" s="2" t="str">
        <f t="shared" si="2"/>
        <v>IT</v>
      </c>
      <c r="T20" s="2" t="str">
        <f t="shared" si="3"/>
        <v>JAN</v>
      </c>
    </row>
    <row r="21" ht="14.25" customHeight="1">
      <c r="A21" s="5" t="s">
        <v>75</v>
      </c>
      <c r="B21" s="5" t="s">
        <v>76</v>
      </c>
      <c r="C21" s="5" t="s">
        <v>77</v>
      </c>
      <c r="D21" s="6">
        <v>200.0</v>
      </c>
      <c r="E21" s="6">
        <v>10.0</v>
      </c>
      <c r="F21" s="5" t="s">
        <v>33</v>
      </c>
      <c r="H21" s="4">
        <v>120.0</v>
      </c>
      <c r="I21" s="2" t="str">
        <f t="shared" si="4"/>
        <v>Standard price</v>
      </c>
      <c r="L21" s="4">
        <v>120.0</v>
      </c>
      <c r="M21" s="3" t="s">
        <v>24</v>
      </c>
      <c r="Q21" s="3" t="s">
        <v>72</v>
      </c>
      <c r="R21" s="2" t="str">
        <f t="shared" si="1"/>
        <v>01</v>
      </c>
      <c r="S21" s="2" t="str">
        <f t="shared" si="2"/>
        <v>UK</v>
      </c>
      <c r="T21" s="2" t="str">
        <f t="shared" si="3"/>
        <v>MAR</v>
      </c>
    </row>
    <row r="22" ht="14.25" customHeight="1">
      <c r="A22" s="3" t="s">
        <v>78</v>
      </c>
      <c r="B22" s="3" t="s">
        <v>79</v>
      </c>
      <c r="C22" s="3" t="s">
        <v>80</v>
      </c>
      <c r="D22" s="4">
        <v>700.0</v>
      </c>
      <c r="E22" s="4">
        <v>50.0</v>
      </c>
      <c r="F22" s="3" t="s">
        <v>13</v>
      </c>
      <c r="H22" s="6">
        <v>150.0</v>
      </c>
      <c r="I22" s="2" t="str">
        <f t="shared" si="4"/>
        <v>Standard price</v>
      </c>
      <c r="L22" s="6">
        <v>150.0</v>
      </c>
      <c r="M22" s="5" t="s">
        <v>13</v>
      </c>
      <c r="Q22" s="5" t="s">
        <v>75</v>
      </c>
      <c r="R22" s="2" t="str">
        <f t="shared" si="1"/>
        <v>14</v>
      </c>
      <c r="S22" s="2" t="str">
        <f t="shared" si="2"/>
        <v>US</v>
      </c>
      <c r="T22" s="2" t="str">
        <f t="shared" si="3"/>
        <v>AUG</v>
      </c>
    </row>
    <row r="23" ht="14.25" customHeight="1">
      <c r="A23" s="5" t="s">
        <v>81</v>
      </c>
      <c r="B23" s="5" t="s">
        <v>82</v>
      </c>
      <c r="C23" s="5" t="s">
        <v>83</v>
      </c>
      <c r="D23" s="6">
        <v>80.0</v>
      </c>
      <c r="E23" s="6">
        <v>20.0</v>
      </c>
      <c r="F23" s="5" t="s">
        <v>24</v>
      </c>
      <c r="H23" s="4">
        <v>250.0</v>
      </c>
      <c r="I23" s="2" t="str">
        <f t="shared" si="4"/>
        <v>Standard price</v>
      </c>
      <c r="L23" s="4">
        <v>250.0</v>
      </c>
      <c r="M23" s="3" t="s">
        <v>13</v>
      </c>
      <c r="Q23" s="3" t="s">
        <v>78</v>
      </c>
      <c r="R23" s="2" t="str">
        <f t="shared" si="1"/>
        <v>14</v>
      </c>
      <c r="S23" s="2" t="str">
        <f t="shared" si="2"/>
        <v>RU</v>
      </c>
      <c r="T23" s="2" t="str">
        <f t="shared" si="3"/>
        <v>MAY</v>
      </c>
    </row>
    <row r="24" ht="14.25" customHeight="1">
      <c r="A24" s="3" t="s">
        <v>84</v>
      </c>
      <c r="B24" s="3" t="s">
        <v>85</v>
      </c>
      <c r="C24" s="3" t="s">
        <v>86</v>
      </c>
      <c r="D24" s="4">
        <v>150.0</v>
      </c>
      <c r="E24" s="4">
        <v>30.0</v>
      </c>
      <c r="F24" s="3" t="s">
        <v>13</v>
      </c>
      <c r="H24" s="6">
        <v>50.0</v>
      </c>
      <c r="I24" s="2" t="str">
        <f t="shared" si="4"/>
        <v>Standard price</v>
      </c>
      <c r="L24" s="6">
        <v>50.0</v>
      </c>
      <c r="M24" s="5" t="s">
        <v>66</v>
      </c>
      <c r="Q24" s="5" t="s">
        <v>81</v>
      </c>
      <c r="R24" s="2" t="str">
        <f t="shared" si="1"/>
        <v>09</v>
      </c>
      <c r="S24" s="2" t="str">
        <f t="shared" si="2"/>
        <v>CA</v>
      </c>
      <c r="T24" s="2" t="str">
        <f t="shared" si="3"/>
        <v>JAN</v>
      </c>
    </row>
    <row r="25" ht="14.25" customHeight="1">
      <c r="A25" s="5" t="s">
        <v>63</v>
      </c>
      <c r="B25" s="5" t="s">
        <v>64</v>
      </c>
      <c r="C25" s="5" t="s">
        <v>65</v>
      </c>
      <c r="D25" s="6">
        <v>50.0</v>
      </c>
      <c r="E25" s="6">
        <v>35.0</v>
      </c>
      <c r="F25" s="5" t="s">
        <v>66</v>
      </c>
      <c r="H25" s="4">
        <v>160.0</v>
      </c>
      <c r="I25" s="2" t="str">
        <f t="shared" si="4"/>
        <v>Standard price</v>
      </c>
      <c r="L25" s="4">
        <v>160.0</v>
      </c>
      <c r="M25" s="3" t="s">
        <v>13</v>
      </c>
      <c r="Q25" s="3" t="s">
        <v>84</v>
      </c>
      <c r="R25" s="2" t="str">
        <f t="shared" si="1"/>
        <v>19</v>
      </c>
      <c r="S25" s="2" t="str">
        <f t="shared" si="2"/>
        <v>BR</v>
      </c>
      <c r="T25" s="2" t="str">
        <f t="shared" si="3"/>
        <v>JUL</v>
      </c>
    </row>
    <row r="26" ht="14.25" customHeight="1">
      <c r="A26" s="3" t="s">
        <v>87</v>
      </c>
      <c r="B26" s="3" t="s">
        <v>28</v>
      </c>
      <c r="C26" s="3" t="s">
        <v>88</v>
      </c>
      <c r="D26" s="4">
        <v>800.0</v>
      </c>
      <c r="E26" s="4">
        <v>45.0</v>
      </c>
      <c r="F26" s="3" t="s">
        <v>13</v>
      </c>
      <c r="H26" s="6">
        <v>980.0</v>
      </c>
      <c r="I26" s="2" t="str">
        <f t="shared" si="4"/>
        <v>Hign Price</v>
      </c>
      <c r="L26" s="6">
        <v>980.0</v>
      </c>
      <c r="M26" s="5" t="s">
        <v>13</v>
      </c>
      <c r="Q26" s="5" t="s">
        <v>63</v>
      </c>
      <c r="R26" s="2" t="str">
        <f t="shared" si="1"/>
        <v>21</v>
      </c>
      <c r="S26" s="2" t="str">
        <f t="shared" si="2"/>
        <v>CA</v>
      </c>
      <c r="T26" s="2" t="str">
        <f t="shared" si="3"/>
        <v>AUG</v>
      </c>
    </row>
    <row r="27" ht="14.25" customHeight="1">
      <c r="A27" s="5" t="s">
        <v>89</v>
      </c>
      <c r="B27" s="5" t="s">
        <v>73</v>
      </c>
      <c r="C27" s="5" t="s">
        <v>90</v>
      </c>
      <c r="D27" s="6">
        <v>130.0</v>
      </c>
      <c r="E27" s="6">
        <v>25.0</v>
      </c>
      <c r="F27" s="5" t="s">
        <v>20</v>
      </c>
      <c r="H27" s="4">
        <v>150.0</v>
      </c>
      <c r="I27" s="2" t="str">
        <f t="shared" si="4"/>
        <v>Standard price</v>
      </c>
      <c r="L27" s="4">
        <v>150.0</v>
      </c>
      <c r="M27" s="3" t="s">
        <v>20</v>
      </c>
      <c r="Q27" s="3" t="s">
        <v>87</v>
      </c>
      <c r="R27" s="2" t="str">
        <f t="shared" si="1"/>
        <v>29</v>
      </c>
      <c r="S27" s="2" t="str">
        <f t="shared" si="2"/>
        <v>CA</v>
      </c>
      <c r="T27" s="2" t="str">
        <f t="shared" si="3"/>
        <v>SEP</v>
      </c>
    </row>
    <row r="28" ht="14.25" customHeight="1">
      <c r="A28" s="3" t="s">
        <v>91</v>
      </c>
      <c r="B28" s="3" t="s">
        <v>44</v>
      </c>
      <c r="C28" s="3" t="s">
        <v>92</v>
      </c>
      <c r="D28" s="4">
        <v>400.0</v>
      </c>
      <c r="E28" s="4">
        <v>40.0</v>
      </c>
      <c r="F28" s="3" t="s">
        <v>24</v>
      </c>
      <c r="H28" s="6">
        <v>200.0</v>
      </c>
      <c r="I28" s="2" t="str">
        <f t="shared" si="4"/>
        <v>Standard price</v>
      </c>
      <c r="L28" s="6">
        <v>200.0</v>
      </c>
      <c r="M28" s="5" t="s">
        <v>33</v>
      </c>
      <c r="Q28" s="5" t="s">
        <v>89</v>
      </c>
      <c r="R28" s="2" t="str">
        <f t="shared" si="1"/>
        <v>03</v>
      </c>
      <c r="S28" s="2" t="str">
        <f t="shared" si="2"/>
        <v>CA</v>
      </c>
      <c r="T28" s="2" t="str">
        <f t="shared" si="3"/>
        <v>JUN</v>
      </c>
    </row>
    <row r="29" ht="14.25" customHeight="1">
      <c r="A29" s="5" t="s">
        <v>61</v>
      </c>
      <c r="B29" s="5" t="s">
        <v>35</v>
      </c>
      <c r="C29" s="5" t="s">
        <v>62</v>
      </c>
      <c r="D29" s="6">
        <v>230.0</v>
      </c>
      <c r="E29" s="6">
        <v>20.0</v>
      </c>
      <c r="F29" s="5" t="s">
        <v>13</v>
      </c>
      <c r="H29" s="4">
        <v>700.0</v>
      </c>
      <c r="I29" s="2" t="str">
        <f t="shared" si="4"/>
        <v>Hign Price</v>
      </c>
      <c r="L29" s="4">
        <v>700.0</v>
      </c>
      <c r="M29" s="3" t="s">
        <v>13</v>
      </c>
      <c r="Q29" s="3" t="s">
        <v>91</v>
      </c>
      <c r="R29" s="2" t="str">
        <f t="shared" si="1"/>
        <v>11</v>
      </c>
      <c r="S29" s="2" t="str">
        <f t="shared" si="2"/>
        <v>CA</v>
      </c>
      <c r="T29" s="2" t="str">
        <f t="shared" si="3"/>
        <v>JUL</v>
      </c>
    </row>
    <row r="30" ht="14.25" customHeight="1">
      <c r="A30" s="3" t="s">
        <v>93</v>
      </c>
      <c r="B30" s="3" t="s">
        <v>94</v>
      </c>
      <c r="C30" s="3" t="s">
        <v>95</v>
      </c>
      <c r="D30" s="4">
        <v>60.0</v>
      </c>
      <c r="E30" s="4">
        <v>30.0</v>
      </c>
      <c r="F30" s="3" t="s">
        <v>20</v>
      </c>
      <c r="H30" s="6">
        <v>80.0</v>
      </c>
      <c r="I30" s="2" t="str">
        <f t="shared" si="4"/>
        <v>Standard price</v>
      </c>
      <c r="L30" s="6">
        <v>80.0</v>
      </c>
      <c r="M30" s="5" t="s">
        <v>24</v>
      </c>
      <c r="Q30" s="5" t="s">
        <v>61</v>
      </c>
      <c r="R30" s="2" t="str">
        <f t="shared" si="1"/>
        <v>16</v>
      </c>
      <c r="S30" s="2" t="str">
        <f t="shared" si="2"/>
        <v>ES</v>
      </c>
      <c r="T30" s="2" t="str">
        <f t="shared" si="3"/>
        <v>APR</v>
      </c>
    </row>
    <row r="31" ht="14.25" customHeight="1">
      <c r="A31" s="5" t="s">
        <v>96</v>
      </c>
      <c r="B31" s="5" t="s">
        <v>97</v>
      </c>
      <c r="C31" s="5" t="s">
        <v>98</v>
      </c>
      <c r="D31" s="6">
        <v>40.0</v>
      </c>
      <c r="E31" s="6">
        <v>10.0</v>
      </c>
      <c r="F31" s="5" t="s">
        <v>24</v>
      </c>
      <c r="H31" s="4">
        <v>150.0</v>
      </c>
      <c r="I31" s="2" t="str">
        <f t="shared" si="4"/>
        <v>Standard price</v>
      </c>
      <c r="L31" s="4">
        <v>150.0</v>
      </c>
      <c r="M31" s="3" t="s">
        <v>13</v>
      </c>
      <c r="Q31" s="3" t="s">
        <v>93</v>
      </c>
      <c r="R31" s="2" t="str">
        <f t="shared" si="1"/>
        <v>07</v>
      </c>
      <c r="S31" s="2" t="str">
        <f t="shared" si="2"/>
        <v>CA</v>
      </c>
      <c r="T31" s="2" t="str">
        <f t="shared" si="3"/>
        <v>MAR</v>
      </c>
    </row>
    <row r="32" ht="14.25" customHeight="1">
      <c r="A32" s="3" t="s">
        <v>99</v>
      </c>
      <c r="B32" s="3" t="s">
        <v>85</v>
      </c>
      <c r="C32" s="3" t="s">
        <v>100</v>
      </c>
      <c r="D32" s="4">
        <v>130.0</v>
      </c>
      <c r="E32" s="4">
        <v>5.0</v>
      </c>
      <c r="F32" s="3" t="s">
        <v>13</v>
      </c>
      <c r="H32" s="6">
        <v>50.0</v>
      </c>
      <c r="I32" s="2" t="str">
        <f t="shared" si="4"/>
        <v>Standard price</v>
      </c>
      <c r="L32" s="6">
        <v>50.0</v>
      </c>
      <c r="M32" s="5" t="s">
        <v>66</v>
      </c>
      <c r="Q32" s="5" t="s">
        <v>96</v>
      </c>
      <c r="R32" s="2" t="str">
        <f t="shared" si="1"/>
        <v>13</v>
      </c>
      <c r="S32" s="2" t="str">
        <f t="shared" si="2"/>
        <v>CA</v>
      </c>
      <c r="T32" s="2" t="str">
        <f t="shared" si="3"/>
        <v>APR</v>
      </c>
    </row>
    <row r="33" ht="14.25" customHeight="1">
      <c r="A33" s="5" t="s">
        <v>101</v>
      </c>
      <c r="B33" s="5" t="s">
        <v>102</v>
      </c>
      <c r="C33" s="5" t="s">
        <v>103</v>
      </c>
      <c r="D33" s="6">
        <v>50.0</v>
      </c>
      <c r="E33" s="6">
        <v>50.0</v>
      </c>
      <c r="F33" s="5" t="s">
        <v>20</v>
      </c>
      <c r="H33" s="4">
        <v>800.0</v>
      </c>
      <c r="I33" s="2" t="str">
        <f t="shared" si="4"/>
        <v>Hign Price</v>
      </c>
      <c r="L33" s="4">
        <v>800.0</v>
      </c>
      <c r="M33" s="3" t="s">
        <v>13</v>
      </c>
      <c r="Q33" s="3" t="s">
        <v>99</v>
      </c>
      <c r="R33" s="2" t="str">
        <f t="shared" si="1"/>
        <v>24</v>
      </c>
      <c r="S33" s="2" t="str">
        <f t="shared" si="2"/>
        <v>CA</v>
      </c>
      <c r="T33" s="2" t="str">
        <f t="shared" si="3"/>
        <v>MAY</v>
      </c>
    </row>
    <row r="34" ht="14.25" customHeight="1">
      <c r="A34" s="3" t="s">
        <v>52</v>
      </c>
      <c r="B34" s="3" t="s">
        <v>11</v>
      </c>
      <c r="C34" s="3" t="s">
        <v>53</v>
      </c>
      <c r="D34" s="4">
        <v>950.0</v>
      </c>
      <c r="E34" s="4">
        <v>25.0</v>
      </c>
      <c r="F34" s="3" t="s">
        <v>13</v>
      </c>
      <c r="H34" s="6">
        <v>130.0</v>
      </c>
      <c r="I34" s="2" t="str">
        <f t="shared" si="4"/>
        <v>Standard price</v>
      </c>
      <c r="L34" s="6">
        <v>130.0</v>
      </c>
      <c r="M34" s="5" t="s">
        <v>20</v>
      </c>
      <c r="Q34" s="5" t="s">
        <v>101</v>
      </c>
      <c r="R34" s="2" t="str">
        <f t="shared" si="1"/>
        <v>02</v>
      </c>
      <c r="S34" s="2" t="str">
        <f t="shared" si="2"/>
        <v>CA</v>
      </c>
      <c r="T34" s="2" t="str">
        <f t="shared" si="3"/>
        <v>DEC</v>
      </c>
    </row>
    <row r="35" ht="14.25" customHeight="1">
      <c r="A35" s="5" t="s">
        <v>104</v>
      </c>
      <c r="B35" s="5" t="s">
        <v>105</v>
      </c>
      <c r="C35" s="5" t="s">
        <v>106</v>
      </c>
      <c r="D35" s="6">
        <v>100.0</v>
      </c>
      <c r="E35" s="6">
        <v>20.0</v>
      </c>
      <c r="F35" s="5" t="s">
        <v>66</v>
      </c>
      <c r="H35" s="4">
        <v>400.0</v>
      </c>
      <c r="I35" s="2" t="str">
        <f t="shared" si="4"/>
        <v>Standard price</v>
      </c>
      <c r="L35" s="4">
        <v>400.0</v>
      </c>
      <c r="M35" s="3" t="s">
        <v>24</v>
      </c>
      <c r="Q35" s="3" t="s">
        <v>52</v>
      </c>
      <c r="R35" s="2" t="str">
        <f t="shared" si="1"/>
        <v>17</v>
      </c>
      <c r="S35" s="2" t="str">
        <f t="shared" si="2"/>
        <v>IN</v>
      </c>
      <c r="T35" s="2" t="str">
        <f t="shared" si="3"/>
        <v>JUN</v>
      </c>
    </row>
    <row r="36" ht="14.25" customHeight="1">
      <c r="H36" s="6">
        <v>230.0</v>
      </c>
      <c r="I36" s="2" t="str">
        <f t="shared" si="4"/>
        <v>Standard price</v>
      </c>
      <c r="L36" s="6">
        <v>230.0</v>
      </c>
      <c r="M36" s="5" t="s">
        <v>13</v>
      </c>
      <c r="Q36" s="5" t="s">
        <v>104</v>
      </c>
      <c r="R36" s="2" t="str">
        <f t="shared" si="1"/>
        <v>09</v>
      </c>
      <c r="S36" s="2" t="str">
        <f t="shared" si="2"/>
        <v>FR</v>
      </c>
      <c r="T36" s="2" t="str">
        <f t="shared" si="3"/>
        <v>JUL</v>
      </c>
    </row>
    <row r="37" ht="14.25" customHeight="1">
      <c r="H37" s="4">
        <v>60.0</v>
      </c>
      <c r="I37" s="2" t="str">
        <f t="shared" si="4"/>
        <v>Standard price</v>
      </c>
      <c r="L37" s="4">
        <v>60.0</v>
      </c>
      <c r="M37" s="3" t="s">
        <v>20</v>
      </c>
    </row>
    <row r="38" ht="14.25" customHeight="1">
      <c r="H38" s="6">
        <v>40.0</v>
      </c>
      <c r="I38" s="2" t="str">
        <f t="shared" si="4"/>
        <v>Standard price</v>
      </c>
      <c r="L38" s="6">
        <v>40.0</v>
      </c>
      <c r="M38" s="5" t="s">
        <v>24</v>
      </c>
    </row>
    <row r="39" ht="14.25" customHeight="1">
      <c r="H39" s="4">
        <v>130.0</v>
      </c>
      <c r="I39" s="2" t="str">
        <f t="shared" si="4"/>
        <v>Standard price</v>
      </c>
      <c r="L39" s="4">
        <v>130.0</v>
      </c>
      <c r="M39" s="3" t="s">
        <v>13</v>
      </c>
    </row>
    <row r="40" ht="14.25" customHeight="1">
      <c r="H40" s="6">
        <v>50.0</v>
      </c>
      <c r="I40" s="2" t="str">
        <f t="shared" si="4"/>
        <v>Standard price</v>
      </c>
      <c r="L40" s="6">
        <v>50.0</v>
      </c>
      <c r="M40" s="5" t="s">
        <v>20</v>
      </c>
    </row>
    <row r="41" ht="14.25" customHeight="1">
      <c r="H41" s="4">
        <v>950.0</v>
      </c>
      <c r="I41" s="2" t="str">
        <f t="shared" si="4"/>
        <v>Hign Price</v>
      </c>
      <c r="L41" s="4">
        <v>950.0</v>
      </c>
      <c r="M41" s="3" t="s">
        <v>13</v>
      </c>
    </row>
    <row r="42" ht="14.25" customHeight="1">
      <c r="H42" s="6">
        <v>100.0</v>
      </c>
      <c r="I42" s="2" t="str">
        <f t="shared" si="4"/>
        <v>Standard price</v>
      </c>
      <c r="L42" s="6">
        <v>100.0</v>
      </c>
      <c r="M42" s="5" t="s">
        <v>66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>
      <c r="I72" s="2" t="str">
        <f>LEFT(A36,2)</f>
        <v/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2025-10-26T10:51:42Z</dcterms:created>
  <dc:creator>JOMOL JOSEPH</dc:creator>
</cp:coreProperties>
</file>